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apicconatto/Desktop/15.076 Kenya/"/>
    </mc:Choice>
  </mc:AlternateContent>
  <xr:revisionPtr revIDLastSave="0" documentId="13_ncr:9_{CA7AF38E-F161-E943-8303-036FB2C04FBB}" xr6:coauthVersionLast="47" xr6:coauthVersionMax="47" xr10:uidLastSave="{00000000-0000-0000-0000-000000000000}"/>
  <bookViews>
    <workbookView xWindow="1220" yWindow="3080" windowWidth="28040" windowHeight="16380" xr2:uid="{2EB295DF-81E8-B74F-B715-1117823D2603}"/>
  </bookViews>
  <sheets>
    <sheet name="kenyadata" sheetId="1" r:id="rId1"/>
  </sheets>
  <calcPr calcId="0" iterateDelta="1E-4"/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4" i="1"/>
  <c r="K5" i="1"/>
  <c r="K6" i="1"/>
  <c r="K7" i="1"/>
  <c r="K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K2" i="1" s="1"/>
</calcChain>
</file>

<file path=xl/sharedStrings.xml><?xml version="1.0" encoding="utf-8"?>
<sst xmlns="http://schemas.openxmlformats.org/spreadsheetml/2006/main" count="59" uniqueCount="59">
  <si>
    <t>County</t>
  </si>
  <si>
    <t>Public Schools</t>
  </si>
  <si>
    <t>Private Schools</t>
  </si>
  <si>
    <t>Total School</t>
  </si>
  <si>
    <t>Enrollment in Public Schools</t>
  </si>
  <si>
    <t>Enrollment in Private Schools</t>
  </si>
  <si>
    <t>Avg School Size</t>
  </si>
  <si>
    <t>Gross Enrollment</t>
  </si>
  <si>
    <t>Net Enrollment</t>
  </si>
  <si>
    <t>Total Enrollment</t>
  </si>
  <si>
    <t>Population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</si>
  <si>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</si>
  <si>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</si>
  <si>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</si>
  <si>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</si>
  <si>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</si>
  <si>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</si>
  <si>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</si>
  <si>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</si>
  <si>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</si>
  <si>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</si>
  <si>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</si>
  <si>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</si>
  <si>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Nithi</t>
  </si>
  <si>
    <t>Embu</t>
  </si>
  <si>
    <t>Kitui</t>
  </si>
  <si>
    <t>Machakos</t>
  </si>
  <si>
    <t>Makueni</t>
  </si>
  <si>
    <t>Nyandarua</t>
  </si>
  <si>
    <t>Nyeri</t>
  </si>
  <si>
    <t>Kirinyaga</t>
  </si>
  <si>
    <t>Murang’a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</si>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</sst>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4721-A069-394D-B43E-1B68F71B69F0}">
  <dimension ref="A1:K49"/>
  <sheetViews>
    <sheetView tabSelected="1" topLeftCell="B1" workbookViewId="0">
      <selection activeCell="L49" sqref="L4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50</v>
      </c>
      <c r="C2">
        <v>79</v>
      </c>
      <c r="D2">
        <v>129</v>
      </c>
      <c r="E2">
        <v>28317</v>
      </c>
      <c r="F2">
        <v>9306</v>
      </c>
      <c r="G2">
        <v>292</v>
      </c>
      <c r="H2">
        <v>46.7</v>
      </c>
      <c r="I2">
        <v>31</v>
      </c>
      <c r="J2">
        <f>E2+F2</f>
        <v>37623</v>
      </c>
      <c r="K2">
        <f>J2/(H2/100)</f>
        <v>80563.169164882216</v>
      </c>
    </row>
    <row r="3" spans="1:11" x14ac:dyDescent="0.2">
      <c r="A3" t="s">
        <v>12</v>
      </c>
      <c r="B3">
        <v>91</v>
      </c>
      <c r="C3">
        <v>10</v>
      </c>
      <c r="D3">
        <v>101</v>
      </c>
      <c r="E3">
        <v>42886</v>
      </c>
      <c r="F3">
        <v>1562</v>
      </c>
      <c r="G3">
        <v>440</v>
      </c>
      <c r="H3">
        <v>51.9</v>
      </c>
      <c r="I3">
        <v>26.5</v>
      </c>
      <c r="J3">
        <f t="shared" ref="J3:J51" si="0">E3+F3</f>
        <v>44448</v>
      </c>
      <c r="K3">
        <f>J3/(H3/100)</f>
        <v>85641.618497109826</v>
      </c>
    </row>
    <row r="4" spans="1:11" x14ac:dyDescent="0.2">
      <c r="A4" t="s">
        <v>13</v>
      </c>
      <c r="B4">
        <v>159</v>
      </c>
      <c r="C4">
        <v>41</v>
      </c>
      <c r="D4">
        <v>200</v>
      </c>
      <c r="E4">
        <v>81917</v>
      </c>
      <c r="F4">
        <v>7647</v>
      </c>
      <c r="G4">
        <v>448</v>
      </c>
      <c r="H4">
        <v>59.9</v>
      </c>
      <c r="I4">
        <v>30.9</v>
      </c>
      <c r="J4">
        <f t="shared" si="0"/>
        <v>89564</v>
      </c>
      <c r="K4">
        <f t="shared" ref="K4:K49" si="1">J4/(H4/100)</f>
        <v>149522.53756260435</v>
      </c>
    </row>
    <row r="5" spans="1:11" x14ac:dyDescent="0.2">
      <c r="A5" t="s">
        <v>14</v>
      </c>
      <c r="B5">
        <v>33</v>
      </c>
      <c r="C5">
        <v>2</v>
      </c>
      <c r="D5">
        <v>35</v>
      </c>
      <c r="E5">
        <v>9818</v>
      </c>
      <c r="F5">
        <v>374</v>
      </c>
      <c r="G5">
        <v>291</v>
      </c>
      <c r="H5">
        <v>34.299999999999997</v>
      </c>
      <c r="I5">
        <v>18.899999999999999</v>
      </c>
      <c r="J5">
        <f t="shared" si="0"/>
        <v>10192</v>
      </c>
      <c r="K5">
        <f t="shared" si="1"/>
        <v>29714.285714285717</v>
      </c>
    </row>
    <row r="6" spans="1:11" x14ac:dyDescent="0.2">
      <c r="A6" t="s">
        <v>15</v>
      </c>
      <c r="B6">
        <v>27</v>
      </c>
      <c r="C6">
        <v>4</v>
      </c>
      <c r="D6">
        <v>31</v>
      </c>
      <c r="E6">
        <v>8145</v>
      </c>
      <c r="F6">
        <v>357</v>
      </c>
      <c r="G6">
        <v>274</v>
      </c>
      <c r="H6">
        <v>67.7</v>
      </c>
      <c r="I6">
        <v>35.4</v>
      </c>
      <c r="J6">
        <f t="shared" si="0"/>
        <v>8502</v>
      </c>
      <c r="K6">
        <f t="shared" si="1"/>
        <v>12558.34564254062</v>
      </c>
    </row>
    <row r="7" spans="1:11" x14ac:dyDescent="0.2">
      <c r="A7" t="s">
        <v>16</v>
      </c>
      <c r="B7">
        <v>87</v>
      </c>
      <c r="C7">
        <v>7</v>
      </c>
      <c r="D7">
        <v>94</v>
      </c>
      <c r="E7">
        <v>29254</v>
      </c>
      <c r="F7">
        <v>643</v>
      </c>
      <c r="G7">
        <v>318</v>
      </c>
      <c r="H7">
        <v>98.6</v>
      </c>
      <c r="I7">
        <v>68</v>
      </c>
      <c r="J7">
        <f t="shared" si="0"/>
        <v>29897</v>
      </c>
      <c r="K7">
        <f t="shared" si="1"/>
        <v>30321.501014198784</v>
      </c>
    </row>
    <row r="8" spans="1:11" x14ac:dyDescent="0.2">
      <c r="A8" t="s">
        <v>17</v>
      </c>
      <c r="B8">
        <v>35</v>
      </c>
      <c r="C8">
        <v>33</v>
      </c>
      <c r="D8">
        <v>68</v>
      </c>
      <c r="E8">
        <v>13931</v>
      </c>
      <c r="F8">
        <v>7341</v>
      </c>
      <c r="G8">
        <v>313</v>
      </c>
      <c r="H8">
        <v>20.5</v>
      </c>
      <c r="I8">
        <v>9.9</v>
      </c>
      <c r="J8">
        <f t="shared" si="0"/>
        <v>21272</v>
      </c>
      <c r="K8">
        <f t="shared" si="1"/>
        <v>103765.85365853659</v>
      </c>
    </row>
    <row r="9" spans="1:11" x14ac:dyDescent="0.2">
      <c r="A9" t="s">
        <v>18</v>
      </c>
      <c r="B9">
        <v>53</v>
      </c>
      <c r="C9">
        <v>3</v>
      </c>
      <c r="D9">
        <v>56</v>
      </c>
      <c r="E9">
        <v>21586</v>
      </c>
      <c r="F9">
        <v>228</v>
      </c>
      <c r="G9">
        <v>390</v>
      </c>
      <c r="H9">
        <v>23.3</v>
      </c>
      <c r="I9">
        <v>14.5</v>
      </c>
      <c r="J9">
        <f t="shared" si="0"/>
        <v>21814</v>
      </c>
      <c r="K9">
        <f t="shared" si="1"/>
        <v>93622.317596566514</v>
      </c>
    </row>
    <row r="10" spans="1:11" x14ac:dyDescent="0.2">
      <c r="A10" t="s">
        <v>19</v>
      </c>
      <c r="B10">
        <v>57</v>
      </c>
      <c r="C10">
        <v>8</v>
      </c>
      <c r="D10">
        <v>65</v>
      </c>
      <c r="E10">
        <v>18613</v>
      </c>
      <c r="F10">
        <v>434</v>
      </c>
      <c r="G10">
        <v>293</v>
      </c>
      <c r="H10">
        <v>18.7</v>
      </c>
      <c r="I10">
        <v>11.4</v>
      </c>
      <c r="J10">
        <f t="shared" si="0"/>
        <v>19047</v>
      </c>
      <c r="K10">
        <f t="shared" si="1"/>
        <v>101855.61497326203</v>
      </c>
    </row>
    <row r="11" spans="1:11" x14ac:dyDescent="0.2">
      <c r="A11" t="s">
        <v>20</v>
      </c>
      <c r="B11">
        <v>42</v>
      </c>
      <c r="C11">
        <v>6</v>
      </c>
      <c r="D11">
        <v>48</v>
      </c>
      <c r="E11">
        <v>9303</v>
      </c>
      <c r="F11">
        <v>889</v>
      </c>
      <c r="G11">
        <v>212</v>
      </c>
      <c r="H11">
        <v>19.600000000000001</v>
      </c>
      <c r="I11">
        <v>12.1</v>
      </c>
      <c r="J11">
        <f t="shared" si="0"/>
        <v>10192</v>
      </c>
      <c r="K11">
        <f t="shared" si="1"/>
        <v>52000</v>
      </c>
    </row>
    <row r="12" spans="1:11" x14ac:dyDescent="0.2">
      <c r="A12" t="s">
        <v>21</v>
      </c>
      <c r="B12">
        <v>32</v>
      </c>
      <c r="C12">
        <v>3</v>
      </c>
      <c r="D12">
        <v>35</v>
      </c>
      <c r="E12">
        <v>7011</v>
      </c>
      <c r="F12">
        <v>851</v>
      </c>
      <c r="G12">
        <v>225</v>
      </c>
      <c r="H12">
        <v>27.4</v>
      </c>
      <c r="I12">
        <v>20.399999999999999</v>
      </c>
      <c r="J12">
        <f t="shared" si="0"/>
        <v>7862</v>
      </c>
      <c r="K12">
        <f t="shared" si="1"/>
        <v>28693.43065693431</v>
      </c>
    </row>
    <row r="13" spans="1:11" x14ac:dyDescent="0.2">
      <c r="A13" t="s">
        <v>22</v>
      </c>
      <c r="B13">
        <v>388</v>
      </c>
      <c r="C13">
        <v>22</v>
      </c>
      <c r="D13">
        <v>410</v>
      </c>
      <c r="E13">
        <v>122738</v>
      </c>
      <c r="F13">
        <v>3295</v>
      </c>
      <c r="G13">
        <v>307</v>
      </c>
      <c r="H13">
        <v>86.5</v>
      </c>
      <c r="I13">
        <v>61.9</v>
      </c>
      <c r="J13">
        <f t="shared" si="0"/>
        <v>126033</v>
      </c>
      <c r="K13">
        <f t="shared" si="1"/>
        <v>145702.89017341041</v>
      </c>
    </row>
    <row r="14" spans="1:11" x14ac:dyDescent="0.2">
      <c r="A14" t="s">
        <v>23</v>
      </c>
      <c r="B14">
        <v>151</v>
      </c>
      <c r="C14">
        <v>9</v>
      </c>
      <c r="D14">
        <v>160</v>
      </c>
      <c r="E14">
        <v>49219</v>
      </c>
      <c r="F14">
        <v>2120</v>
      </c>
      <c r="G14">
        <v>321</v>
      </c>
      <c r="H14">
        <v>136</v>
      </c>
      <c r="I14">
        <v>97</v>
      </c>
      <c r="J14">
        <f t="shared" si="0"/>
        <v>51339</v>
      </c>
      <c r="K14">
        <f t="shared" si="1"/>
        <v>37749.26470588235</v>
      </c>
    </row>
    <row r="15" spans="1:11" x14ac:dyDescent="0.2">
      <c r="A15" t="s">
        <v>24</v>
      </c>
      <c r="B15">
        <v>196</v>
      </c>
      <c r="C15">
        <v>13</v>
      </c>
      <c r="D15">
        <v>209</v>
      </c>
      <c r="E15">
        <v>57601</v>
      </c>
      <c r="F15">
        <v>2184</v>
      </c>
      <c r="G15">
        <v>286</v>
      </c>
      <c r="H15">
        <v>108.5</v>
      </c>
      <c r="I15">
        <v>75.900000000000006</v>
      </c>
      <c r="J15">
        <f t="shared" si="0"/>
        <v>59785</v>
      </c>
      <c r="K15">
        <f t="shared" si="1"/>
        <v>55101.382488479263</v>
      </c>
    </row>
    <row r="16" spans="1:11" x14ac:dyDescent="0.2">
      <c r="A16" t="s">
        <v>25</v>
      </c>
      <c r="B16">
        <v>443</v>
      </c>
      <c r="C16">
        <v>12</v>
      </c>
      <c r="D16">
        <v>455</v>
      </c>
      <c r="E16">
        <v>103640</v>
      </c>
      <c r="F16">
        <v>2260</v>
      </c>
      <c r="G16">
        <v>233</v>
      </c>
      <c r="H16">
        <v>76.7</v>
      </c>
      <c r="I16">
        <v>53.1</v>
      </c>
      <c r="J16">
        <f t="shared" si="0"/>
        <v>105900</v>
      </c>
      <c r="K16">
        <f t="shared" si="1"/>
        <v>138070.40417209908</v>
      </c>
    </row>
    <row r="17" spans="1:11" x14ac:dyDescent="0.2">
      <c r="A17" t="s">
        <v>26</v>
      </c>
      <c r="B17">
        <v>368</v>
      </c>
      <c r="C17">
        <v>83</v>
      </c>
      <c r="D17">
        <v>451</v>
      </c>
      <c r="E17">
        <v>111401</v>
      </c>
      <c r="F17">
        <v>10128</v>
      </c>
      <c r="G17">
        <v>269</v>
      </c>
      <c r="H17">
        <v>101.5</v>
      </c>
      <c r="I17">
        <v>69.8</v>
      </c>
      <c r="J17">
        <f t="shared" si="0"/>
        <v>121529</v>
      </c>
      <c r="K17">
        <f t="shared" si="1"/>
        <v>119733.00492610839</v>
      </c>
    </row>
    <row r="18" spans="1:11" x14ac:dyDescent="0.2">
      <c r="A18" t="s">
        <v>27</v>
      </c>
      <c r="B18">
        <v>390</v>
      </c>
      <c r="C18">
        <v>17</v>
      </c>
      <c r="D18">
        <v>407</v>
      </c>
      <c r="E18">
        <v>121384</v>
      </c>
      <c r="F18">
        <v>3101</v>
      </c>
      <c r="G18">
        <v>306</v>
      </c>
      <c r="H18">
        <v>94</v>
      </c>
      <c r="I18">
        <v>81.2</v>
      </c>
      <c r="J18">
        <f t="shared" si="0"/>
        <v>124485</v>
      </c>
      <c r="K18">
        <f t="shared" si="1"/>
        <v>132430.85106382979</v>
      </c>
    </row>
    <row r="19" spans="1:11" x14ac:dyDescent="0.2">
      <c r="A19" t="s">
        <v>28</v>
      </c>
      <c r="B19">
        <v>173</v>
      </c>
      <c r="C19">
        <v>31</v>
      </c>
      <c r="D19">
        <v>204</v>
      </c>
      <c r="E19">
        <v>65948</v>
      </c>
      <c r="F19">
        <v>3635</v>
      </c>
      <c r="G19">
        <v>341</v>
      </c>
      <c r="H19">
        <v>113</v>
      </c>
      <c r="I19">
        <v>75.099999999999994</v>
      </c>
      <c r="J19">
        <f t="shared" si="0"/>
        <v>69583</v>
      </c>
      <c r="K19">
        <f t="shared" si="1"/>
        <v>61577.876106194693</v>
      </c>
    </row>
    <row r="20" spans="1:11" x14ac:dyDescent="0.2">
      <c r="A20" t="s">
        <v>29</v>
      </c>
      <c r="B20">
        <v>221</v>
      </c>
      <c r="C20">
        <v>17</v>
      </c>
      <c r="D20">
        <v>238</v>
      </c>
      <c r="E20">
        <v>77981</v>
      </c>
      <c r="F20">
        <v>2029</v>
      </c>
      <c r="G20">
        <v>336</v>
      </c>
      <c r="H20">
        <v>101.5</v>
      </c>
      <c r="I20">
        <v>91.6</v>
      </c>
      <c r="J20">
        <f t="shared" si="0"/>
        <v>80010</v>
      </c>
      <c r="K20">
        <f t="shared" si="1"/>
        <v>78827.586206896565</v>
      </c>
    </row>
    <row r="21" spans="1:11" x14ac:dyDescent="0.2">
      <c r="A21" t="s">
        <v>30</v>
      </c>
      <c r="B21">
        <v>153</v>
      </c>
      <c r="C21">
        <v>15</v>
      </c>
      <c r="D21">
        <v>168</v>
      </c>
      <c r="E21">
        <v>54687</v>
      </c>
      <c r="F21">
        <v>865</v>
      </c>
      <c r="G21">
        <v>331</v>
      </c>
      <c r="H21">
        <v>127.8</v>
      </c>
      <c r="I21">
        <v>80.8</v>
      </c>
      <c r="J21">
        <f t="shared" si="0"/>
        <v>55552</v>
      </c>
      <c r="K21">
        <f t="shared" si="1"/>
        <v>43467.918622848199</v>
      </c>
    </row>
    <row r="22" spans="1:11" x14ac:dyDescent="0.2">
      <c r="A22" t="s">
        <v>31</v>
      </c>
      <c r="B22">
        <v>313</v>
      </c>
      <c r="C22">
        <v>33</v>
      </c>
      <c r="D22">
        <v>346</v>
      </c>
      <c r="E22">
        <v>124590</v>
      </c>
      <c r="F22">
        <v>5977</v>
      </c>
      <c r="G22">
        <v>377</v>
      </c>
      <c r="H22">
        <v>110</v>
      </c>
      <c r="I22">
        <v>101.9</v>
      </c>
      <c r="J22">
        <f t="shared" si="0"/>
        <v>130567</v>
      </c>
      <c r="K22">
        <f t="shared" si="1"/>
        <v>118697.27272727272</v>
      </c>
    </row>
    <row r="23" spans="1:11" x14ac:dyDescent="0.2">
      <c r="A23" t="s">
        <v>32</v>
      </c>
      <c r="B23">
        <v>290</v>
      </c>
      <c r="C23">
        <v>99</v>
      </c>
      <c r="D23">
        <v>389</v>
      </c>
      <c r="E23">
        <v>135681</v>
      </c>
      <c r="F23">
        <v>7428</v>
      </c>
      <c r="G23">
        <v>368</v>
      </c>
      <c r="H23">
        <v>139</v>
      </c>
      <c r="I23">
        <v>64</v>
      </c>
      <c r="J23">
        <f t="shared" si="0"/>
        <v>143109</v>
      </c>
      <c r="K23">
        <f t="shared" si="1"/>
        <v>102956.11510791368</v>
      </c>
    </row>
    <row r="24" spans="1:11" x14ac:dyDescent="0.2">
      <c r="A24" t="s">
        <v>33</v>
      </c>
      <c r="B24">
        <v>57</v>
      </c>
      <c r="C24">
        <v>4</v>
      </c>
      <c r="D24">
        <v>61</v>
      </c>
      <c r="E24">
        <v>32635</v>
      </c>
      <c r="F24">
        <v>2410</v>
      </c>
      <c r="G24">
        <v>575</v>
      </c>
      <c r="H24">
        <v>82.4</v>
      </c>
      <c r="I24">
        <v>16.7</v>
      </c>
      <c r="J24">
        <f t="shared" si="0"/>
        <v>35045</v>
      </c>
      <c r="K24">
        <f t="shared" si="1"/>
        <v>42530.339805825242</v>
      </c>
    </row>
    <row r="25" spans="1:11" x14ac:dyDescent="0.2">
      <c r="A25" t="s">
        <v>34</v>
      </c>
      <c r="B25">
        <v>161</v>
      </c>
      <c r="C25">
        <v>2</v>
      </c>
      <c r="D25">
        <v>163</v>
      </c>
      <c r="E25">
        <v>43237</v>
      </c>
      <c r="F25">
        <v>503</v>
      </c>
      <c r="G25">
        <v>268</v>
      </c>
      <c r="H25">
        <v>33.799999999999997</v>
      </c>
      <c r="I25">
        <v>52.3</v>
      </c>
      <c r="J25">
        <f t="shared" si="0"/>
        <v>43740</v>
      </c>
      <c r="K25">
        <f t="shared" si="1"/>
        <v>129408.28402366865</v>
      </c>
    </row>
    <row r="26" spans="1:11" x14ac:dyDescent="0.2">
      <c r="A26" t="s">
        <v>35</v>
      </c>
      <c r="B26">
        <v>44</v>
      </c>
      <c r="C26">
        <v>8</v>
      </c>
      <c r="D26">
        <v>52</v>
      </c>
      <c r="E26">
        <v>11598</v>
      </c>
      <c r="F26">
        <v>1351</v>
      </c>
      <c r="G26">
        <v>249</v>
      </c>
      <c r="H26">
        <v>704</v>
      </c>
      <c r="I26">
        <v>30</v>
      </c>
      <c r="J26">
        <f t="shared" si="0"/>
        <v>12949</v>
      </c>
      <c r="K26">
        <f t="shared" si="1"/>
        <v>1839.346590909091</v>
      </c>
    </row>
    <row r="27" spans="1:11" x14ac:dyDescent="0.2">
      <c r="A27" t="s">
        <v>36</v>
      </c>
      <c r="B27">
        <v>240</v>
      </c>
      <c r="C27">
        <v>14</v>
      </c>
      <c r="D27">
        <v>254</v>
      </c>
      <c r="E27">
        <v>99402</v>
      </c>
      <c r="F27">
        <v>1878</v>
      </c>
      <c r="G27">
        <v>399</v>
      </c>
      <c r="H27">
        <v>40.200000000000003</v>
      </c>
      <c r="I27">
        <v>62.8</v>
      </c>
      <c r="J27">
        <f t="shared" si="0"/>
        <v>101280</v>
      </c>
      <c r="K27">
        <f t="shared" si="1"/>
        <v>251940.29850746266</v>
      </c>
    </row>
    <row r="28" spans="1:11" x14ac:dyDescent="0.2">
      <c r="A28" t="s">
        <v>37</v>
      </c>
      <c r="B28">
        <v>194</v>
      </c>
      <c r="C28">
        <v>40</v>
      </c>
      <c r="D28">
        <v>234</v>
      </c>
      <c r="E28">
        <v>70218</v>
      </c>
      <c r="F28">
        <v>5306</v>
      </c>
      <c r="G28">
        <v>323</v>
      </c>
      <c r="H28">
        <v>89.8</v>
      </c>
      <c r="I28">
        <v>44.3</v>
      </c>
      <c r="J28">
        <f t="shared" si="0"/>
        <v>75524</v>
      </c>
      <c r="K28">
        <f t="shared" si="1"/>
        <v>84102.449888641422</v>
      </c>
    </row>
    <row r="29" spans="1:11" x14ac:dyDescent="0.2">
      <c r="A29" t="s">
        <v>38</v>
      </c>
      <c r="B29">
        <v>128</v>
      </c>
      <c r="C29">
        <v>2</v>
      </c>
      <c r="D29">
        <v>130</v>
      </c>
      <c r="E29">
        <v>45087</v>
      </c>
      <c r="F29">
        <v>1165</v>
      </c>
      <c r="G29">
        <v>356</v>
      </c>
      <c r="H29">
        <v>66.5</v>
      </c>
      <c r="I29">
        <v>61.7</v>
      </c>
      <c r="J29">
        <f t="shared" si="0"/>
        <v>46252</v>
      </c>
      <c r="K29">
        <f t="shared" si="1"/>
        <v>69551.879699248122</v>
      </c>
    </row>
    <row r="30" spans="1:11" x14ac:dyDescent="0.2">
      <c r="A30" t="s">
        <v>39</v>
      </c>
      <c r="B30">
        <v>239</v>
      </c>
      <c r="C30">
        <v>9</v>
      </c>
      <c r="D30">
        <v>248</v>
      </c>
      <c r="E30">
        <v>86631</v>
      </c>
      <c r="F30">
        <v>924</v>
      </c>
      <c r="G30">
        <v>353</v>
      </c>
      <c r="H30">
        <v>93.7</v>
      </c>
      <c r="I30">
        <v>59.5</v>
      </c>
      <c r="J30">
        <f t="shared" si="0"/>
        <v>87555</v>
      </c>
      <c r="K30">
        <f t="shared" si="1"/>
        <v>93441.835645677696</v>
      </c>
    </row>
    <row r="31" spans="1:11" x14ac:dyDescent="0.2">
      <c r="A31" t="s">
        <v>40</v>
      </c>
      <c r="B31">
        <v>176</v>
      </c>
      <c r="C31">
        <v>7</v>
      </c>
      <c r="D31">
        <v>183</v>
      </c>
      <c r="E31">
        <v>49094</v>
      </c>
      <c r="F31">
        <v>1609</v>
      </c>
      <c r="G31">
        <v>277</v>
      </c>
      <c r="H31">
        <v>91</v>
      </c>
      <c r="I31">
        <v>52.2</v>
      </c>
      <c r="J31">
        <f t="shared" si="0"/>
        <v>50703</v>
      </c>
      <c r="K31">
        <f t="shared" si="1"/>
        <v>55717.582417582416</v>
      </c>
    </row>
    <row r="32" spans="1:11" x14ac:dyDescent="0.2">
      <c r="A32" t="s">
        <v>41</v>
      </c>
      <c r="B32">
        <v>120</v>
      </c>
      <c r="C32">
        <v>20</v>
      </c>
      <c r="D32">
        <v>140</v>
      </c>
      <c r="E32">
        <v>41294</v>
      </c>
      <c r="F32">
        <v>1988</v>
      </c>
      <c r="G32">
        <v>309</v>
      </c>
      <c r="H32">
        <v>69.3</v>
      </c>
      <c r="I32">
        <v>59.3</v>
      </c>
      <c r="J32">
        <f t="shared" si="0"/>
        <v>43282</v>
      </c>
      <c r="K32">
        <f t="shared" si="1"/>
        <v>62455.988455988459</v>
      </c>
    </row>
    <row r="33" spans="1:11" x14ac:dyDescent="0.2">
      <c r="A33" t="s">
        <v>42</v>
      </c>
      <c r="B33">
        <v>363</v>
      </c>
      <c r="C33">
        <v>149</v>
      </c>
      <c r="D33">
        <v>512</v>
      </c>
      <c r="E33">
        <v>153850</v>
      </c>
      <c r="F33">
        <v>12976</v>
      </c>
      <c r="G33">
        <v>326</v>
      </c>
      <c r="H33">
        <v>86.7</v>
      </c>
      <c r="I33">
        <v>59.2</v>
      </c>
      <c r="J33">
        <f t="shared" si="0"/>
        <v>166826</v>
      </c>
      <c r="K33">
        <f t="shared" si="1"/>
        <v>192417.53171856978</v>
      </c>
    </row>
    <row r="34" spans="1:11" x14ac:dyDescent="0.2">
      <c r="A34" t="s">
        <v>43</v>
      </c>
      <c r="B34">
        <v>160</v>
      </c>
      <c r="C34">
        <v>17</v>
      </c>
      <c r="D34">
        <v>177</v>
      </c>
      <c r="E34">
        <v>50327</v>
      </c>
      <c r="F34">
        <v>2765</v>
      </c>
      <c r="G34">
        <v>300</v>
      </c>
      <c r="H34">
        <v>80.8</v>
      </c>
      <c r="I34">
        <v>33.5</v>
      </c>
      <c r="J34">
        <f t="shared" si="0"/>
        <v>53092</v>
      </c>
      <c r="K34">
        <f t="shared" si="1"/>
        <v>65707.920792079211</v>
      </c>
    </row>
    <row r="35" spans="1:11" x14ac:dyDescent="0.2">
      <c r="A35" t="s">
        <v>44</v>
      </c>
      <c r="B35">
        <v>92</v>
      </c>
      <c r="C35">
        <v>73</v>
      </c>
      <c r="D35">
        <v>165</v>
      </c>
      <c r="E35">
        <v>36699</v>
      </c>
      <c r="F35">
        <v>10355</v>
      </c>
      <c r="G35">
        <v>285</v>
      </c>
      <c r="H35">
        <v>46.2</v>
      </c>
      <c r="I35">
        <v>37.299999999999997</v>
      </c>
      <c r="J35">
        <f t="shared" si="0"/>
        <v>47054</v>
      </c>
      <c r="K35">
        <f t="shared" si="1"/>
        <v>101848.48484848485</v>
      </c>
    </row>
    <row r="36" spans="1:11" x14ac:dyDescent="0.2">
      <c r="A36" t="s">
        <v>45</v>
      </c>
      <c r="B36">
        <v>241</v>
      </c>
      <c r="C36">
        <v>11</v>
      </c>
      <c r="D36">
        <v>252</v>
      </c>
      <c r="E36">
        <v>93225</v>
      </c>
      <c r="F36">
        <v>1402</v>
      </c>
      <c r="G36">
        <v>376</v>
      </c>
      <c r="H36">
        <v>53.8</v>
      </c>
      <c r="I36">
        <v>75.400000000000006</v>
      </c>
      <c r="J36">
        <f t="shared" si="0"/>
        <v>94627</v>
      </c>
      <c r="K36">
        <f t="shared" si="1"/>
        <v>175886.61710037178</v>
      </c>
    </row>
    <row r="37" spans="1:11" x14ac:dyDescent="0.2">
      <c r="A37" t="s">
        <v>46</v>
      </c>
      <c r="B37">
        <v>286</v>
      </c>
      <c r="C37">
        <v>13</v>
      </c>
      <c r="D37">
        <v>299</v>
      </c>
      <c r="E37">
        <v>96049</v>
      </c>
      <c r="F37">
        <v>1566</v>
      </c>
      <c r="G37">
        <v>326</v>
      </c>
      <c r="H37">
        <v>99.2</v>
      </c>
      <c r="I37">
        <v>78.400000000000006</v>
      </c>
      <c r="J37">
        <f t="shared" si="0"/>
        <v>97615</v>
      </c>
      <c r="K37">
        <f t="shared" si="1"/>
        <v>98402.217741935485</v>
      </c>
    </row>
    <row r="38" spans="1:11" x14ac:dyDescent="0.2">
      <c r="A38" t="s">
        <v>47</v>
      </c>
      <c r="B38">
        <v>425</v>
      </c>
      <c r="C38">
        <v>28</v>
      </c>
      <c r="D38">
        <v>453</v>
      </c>
      <c r="E38">
        <v>183255</v>
      </c>
      <c r="F38">
        <v>3239</v>
      </c>
      <c r="G38">
        <v>412</v>
      </c>
      <c r="H38">
        <v>98.7</v>
      </c>
      <c r="I38">
        <v>58.3</v>
      </c>
      <c r="J38">
        <f t="shared" si="0"/>
        <v>186494</v>
      </c>
      <c r="K38">
        <f t="shared" si="1"/>
        <v>188950.35460992908</v>
      </c>
    </row>
    <row r="39" spans="1:11" x14ac:dyDescent="0.2">
      <c r="A39" t="s">
        <v>48</v>
      </c>
      <c r="B39">
        <v>159</v>
      </c>
      <c r="C39">
        <v>3</v>
      </c>
      <c r="D39">
        <v>162</v>
      </c>
      <c r="E39">
        <v>76297</v>
      </c>
      <c r="F39">
        <v>458</v>
      </c>
      <c r="G39">
        <v>474</v>
      </c>
      <c r="H39">
        <v>86.2</v>
      </c>
      <c r="I39">
        <v>77.599999999999994</v>
      </c>
      <c r="J39">
        <f t="shared" si="0"/>
        <v>76755</v>
      </c>
      <c r="K39">
        <f t="shared" si="1"/>
        <v>89042.923433874705</v>
      </c>
    </row>
    <row r="40" spans="1:11" x14ac:dyDescent="0.2">
      <c r="A40" t="s">
        <v>49</v>
      </c>
      <c r="B40">
        <v>367</v>
      </c>
      <c r="C40">
        <v>29</v>
      </c>
      <c r="D40">
        <v>396</v>
      </c>
      <c r="E40">
        <v>168770</v>
      </c>
      <c r="F40">
        <v>2413</v>
      </c>
      <c r="G40">
        <v>432</v>
      </c>
      <c r="H40">
        <v>115.5</v>
      </c>
      <c r="I40">
        <v>62.2</v>
      </c>
      <c r="J40">
        <f t="shared" si="0"/>
        <v>171183</v>
      </c>
      <c r="K40">
        <f t="shared" si="1"/>
        <v>148210.3896103896</v>
      </c>
    </row>
    <row r="41" spans="1:11" x14ac:dyDescent="0.2">
      <c r="A41" t="s">
        <v>50</v>
      </c>
      <c r="B41">
        <v>162</v>
      </c>
      <c r="C41">
        <v>7</v>
      </c>
      <c r="D41">
        <v>169</v>
      </c>
      <c r="E41">
        <v>70930</v>
      </c>
      <c r="F41">
        <v>603</v>
      </c>
      <c r="G41">
        <v>423</v>
      </c>
      <c r="H41">
        <v>86.8</v>
      </c>
      <c r="I41">
        <v>42.6</v>
      </c>
      <c r="J41">
        <f t="shared" si="0"/>
        <v>71533</v>
      </c>
      <c r="K41">
        <f t="shared" si="1"/>
        <v>82411.290322580651</v>
      </c>
    </row>
    <row r="42" spans="1:11" x14ac:dyDescent="0.2">
      <c r="A42" t="s">
        <v>51</v>
      </c>
      <c r="B42">
        <v>242</v>
      </c>
      <c r="C42">
        <v>1</v>
      </c>
      <c r="D42">
        <v>243</v>
      </c>
      <c r="E42">
        <v>106395</v>
      </c>
      <c r="F42">
        <v>231</v>
      </c>
      <c r="G42">
        <v>439</v>
      </c>
      <c r="H42">
        <v>68.3</v>
      </c>
      <c r="I42">
        <v>71.400000000000006</v>
      </c>
      <c r="J42">
        <f t="shared" si="0"/>
        <v>106626</v>
      </c>
      <c r="K42">
        <f t="shared" si="1"/>
        <v>156114.2020497804</v>
      </c>
    </row>
    <row r="43" spans="1:11" x14ac:dyDescent="0.2">
      <c r="A43" t="s">
        <v>52</v>
      </c>
      <c r="B43">
        <v>230</v>
      </c>
      <c r="C43">
        <v>20</v>
      </c>
      <c r="D43">
        <v>250</v>
      </c>
      <c r="E43">
        <v>97882</v>
      </c>
      <c r="F43">
        <v>2816</v>
      </c>
      <c r="G43">
        <v>403</v>
      </c>
      <c r="H43">
        <v>99.9</v>
      </c>
      <c r="I43">
        <v>60.8</v>
      </c>
      <c r="J43">
        <f t="shared" si="0"/>
        <v>100698</v>
      </c>
      <c r="K43">
        <f t="shared" si="1"/>
        <v>100798.79879879879</v>
      </c>
    </row>
    <row r="44" spans="1:11" x14ac:dyDescent="0.2">
      <c r="A44" t="s">
        <v>53</v>
      </c>
      <c r="B44">
        <v>329</v>
      </c>
      <c r="C44">
        <v>23</v>
      </c>
      <c r="D44">
        <v>352</v>
      </c>
      <c r="E44">
        <v>116415</v>
      </c>
      <c r="F44">
        <v>2028</v>
      </c>
      <c r="G44">
        <v>336</v>
      </c>
      <c r="H44">
        <v>85.1</v>
      </c>
      <c r="I44">
        <v>64.7</v>
      </c>
      <c r="J44">
        <f t="shared" si="0"/>
        <v>118443</v>
      </c>
      <c r="K44">
        <f t="shared" si="1"/>
        <v>139180.96357226794</v>
      </c>
    </row>
    <row r="45" spans="1:11" x14ac:dyDescent="0.2">
      <c r="A45" t="s">
        <v>54</v>
      </c>
      <c r="B45">
        <v>283</v>
      </c>
      <c r="C45">
        <v>33</v>
      </c>
      <c r="D45">
        <v>316</v>
      </c>
      <c r="E45">
        <v>98220</v>
      </c>
      <c r="F45">
        <v>2969</v>
      </c>
      <c r="G45">
        <v>320</v>
      </c>
      <c r="H45">
        <v>93.9</v>
      </c>
      <c r="I45">
        <v>63.6</v>
      </c>
      <c r="J45">
        <f t="shared" si="0"/>
        <v>101189</v>
      </c>
      <c r="K45">
        <f t="shared" si="1"/>
        <v>107762.51331203408</v>
      </c>
    </row>
    <row r="46" spans="1:11" x14ac:dyDescent="0.2">
      <c r="A46" t="s">
        <v>55</v>
      </c>
      <c r="B46">
        <v>359</v>
      </c>
      <c r="C46">
        <v>20</v>
      </c>
      <c r="D46">
        <v>379</v>
      </c>
      <c r="E46">
        <v>139165</v>
      </c>
      <c r="F46">
        <v>2197</v>
      </c>
      <c r="G46">
        <v>373</v>
      </c>
      <c r="H46">
        <v>83.2</v>
      </c>
      <c r="I46">
        <v>83</v>
      </c>
      <c r="J46">
        <f t="shared" si="0"/>
        <v>141362</v>
      </c>
      <c r="K46">
        <f t="shared" si="1"/>
        <v>169906.24999999997</v>
      </c>
    </row>
    <row r="47" spans="1:11" x14ac:dyDescent="0.2">
      <c r="A47" t="s">
        <v>56</v>
      </c>
      <c r="B47">
        <v>190</v>
      </c>
      <c r="C47">
        <v>4</v>
      </c>
      <c r="D47">
        <v>194</v>
      </c>
      <c r="E47">
        <v>63634</v>
      </c>
      <c r="F47">
        <v>548</v>
      </c>
      <c r="G47">
        <v>331</v>
      </c>
      <c r="H47">
        <v>78.3</v>
      </c>
      <c r="I47">
        <v>78.599999999999994</v>
      </c>
      <c r="J47">
        <f t="shared" si="0"/>
        <v>64182</v>
      </c>
      <c r="K47">
        <f t="shared" si="1"/>
        <v>81969.348659003837</v>
      </c>
    </row>
    <row r="48" spans="1:11" x14ac:dyDescent="0.2">
      <c r="A48" t="s">
        <v>57</v>
      </c>
      <c r="B48">
        <v>101</v>
      </c>
      <c r="C48">
        <v>206</v>
      </c>
      <c r="D48">
        <v>307</v>
      </c>
      <c r="E48">
        <v>76636</v>
      </c>
      <c r="F48">
        <v>30329</v>
      </c>
      <c r="G48">
        <v>348</v>
      </c>
      <c r="H48">
        <v>31.1</v>
      </c>
      <c r="I48">
        <v>28.8</v>
      </c>
      <c r="J48">
        <f t="shared" si="0"/>
        <v>106965</v>
      </c>
      <c r="K48">
        <f t="shared" si="1"/>
        <v>343938.90675241157</v>
      </c>
    </row>
    <row r="49" spans="1:11" x14ac:dyDescent="0.2">
      <c r="A49" t="s">
        <v>58</v>
      </c>
      <c r="B49">
        <v>9100</v>
      </c>
      <c r="C49">
        <v>1290</v>
      </c>
      <c r="D49">
        <v>10390</v>
      </c>
      <c r="E49">
        <v>3402596</v>
      </c>
      <c r="F49">
        <v>166683</v>
      </c>
      <c r="G49">
        <v>344</v>
      </c>
      <c r="H49">
        <v>51.2</v>
      </c>
      <c r="I49">
        <v>54.1</v>
      </c>
      <c r="J49">
        <f t="shared" si="0"/>
        <v>3569279</v>
      </c>
      <c r="K49">
        <f t="shared" si="1"/>
        <v>6971248.046875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 Picconatto</dc:creator>
  <cp:lastModifiedBy>Tea Picconatto</cp:lastModifiedBy>
  <dcterms:created xsi:type="dcterms:W3CDTF">2025-04-26T12:42:36Z</dcterms:created>
  <dcterms:modified xsi:type="dcterms:W3CDTF">2025-04-26T12:51:39Z</dcterms:modified>
</cp:coreProperties>
</file>